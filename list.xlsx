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My Drive\Claude Projects\Visual Studio\Telecom Department\Tracking &amp; Financial Controller\"/>
    </mc:Choice>
  </mc:AlternateContent>
  <xr:revisionPtr revIDLastSave="0" documentId="13_ncr:1_{3D669A66-F3D9-44E0-867C-A0787123BEC1}" xr6:coauthVersionLast="47" xr6:coauthVersionMax="47" xr10:uidLastSave="{00000000-0000-0000-0000-000000000000}"/>
  <bookViews>
    <workbookView xWindow="-108" yWindow="-108" windowWidth="23256" windowHeight="12576" xr2:uid="{FB18FD28-8304-47B6-A714-5A0F1E7D9244}"/>
  </bookViews>
  <sheets>
    <sheet name="Salaries" sheetId="1" r:id="rId1"/>
    <sheet name="Google Sheets URL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2" i="1"/>
  <c r="D11" i="1"/>
  <c r="D4" i="1"/>
  <c r="D15" i="1"/>
  <c r="D14" i="1"/>
  <c r="D13" i="1"/>
  <c r="D12" i="1"/>
  <c r="D9" i="1"/>
  <c r="D8" i="1"/>
  <c r="D7" i="1"/>
  <c r="D6" i="1"/>
  <c r="D5" i="1"/>
  <c r="D3" i="1"/>
</calcChain>
</file>

<file path=xl/sharedStrings.xml><?xml version="1.0" encoding="utf-8"?>
<sst xmlns="http://schemas.openxmlformats.org/spreadsheetml/2006/main" count="51" uniqueCount="51">
  <si>
    <t>Name</t>
  </si>
  <si>
    <t>Account Number</t>
  </si>
  <si>
    <t>Salary</t>
  </si>
  <si>
    <t>Salary/Day</t>
  </si>
  <si>
    <t>Abd El-Raaof Waleed Abd El-Raaof</t>
  </si>
  <si>
    <t>Asheay Aywob</t>
  </si>
  <si>
    <t>Bahgat Ali Bahgat</t>
  </si>
  <si>
    <t>Kareem Waleed Abd El-Raaof</t>
  </si>
  <si>
    <t>Khaled Mohamed Mansour</t>
  </si>
  <si>
    <t>Mahmoud Ahmed Abd El-Maogoud</t>
  </si>
  <si>
    <t>Mahmoud Elsharawi Fathey</t>
  </si>
  <si>
    <t>Mohamed Shehata</t>
  </si>
  <si>
    <t>Mostafa Ahmed Mohamed</t>
  </si>
  <si>
    <t>Sameh Abd El Fatah Ebada</t>
  </si>
  <si>
    <t>Yousry Mohamed Hekel</t>
  </si>
  <si>
    <t>5022-772312-419</t>
  </si>
  <si>
    <t>Ayman Ahmed El-Sayed</t>
  </si>
  <si>
    <t>Mohamed El-Sayed Mohamed Abo El-Magd</t>
  </si>
  <si>
    <t>Sheet Name</t>
  </si>
  <si>
    <t>URL</t>
  </si>
  <si>
    <t>Islam Mousa</t>
  </si>
  <si>
    <t>https://docs.google.com/spreadsheets/d/1TGCT-VLkvCR46JAcw6f2foi-NbowKZpuuoPIYbcKCyE/edit?gid=1510773283#gid=1510773283</t>
  </si>
  <si>
    <t>Ashraf Tracking</t>
  </si>
  <si>
    <t>Mahmoud El-Gendy Tracking</t>
  </si>
  <si>
    <t>https://docs.google.com/spreadsheets/d/1tVUeQ4JYSVJRg1BHjTZitbsV4PQLDnt79FbU2aD-0Dg/edit?gid=1510773283#gid=1510773283</t>
  </si>
  <si>
    <t>https://docs.google.com/spreadsheets/d/1M2JPq8yda2_8CrsYyj4n771VQEtoTRkoPhOX1l_3LYQ/edit?gid=1510773283#gid=1510773283</t>
  </si>
  <si>
    <t>Mahmoud Amin Tracking</t>
  </si>
  <si>
    <t>https://docs.google.com/spreadsheets/d/1r0q8ikd2wIKxK-7zp1oDlR-LrW9IRNODAhYBLPME09U/edit?gid=1510773283#gid=1510773283</t>
  </si>
  <si>
    <t>Mostafa Ahmed Tracking</t>
  </si>
  <si>
    <t>https://docs.google.com/spreadsheets/d/1-4mrYPh4aSzXaUfN6eFy-SiVLkRvPaBrGQPXb2DEtrQ/edit?gid=1510773283#gid=1510773283</t>
  </si>
  <si>
    <t>Abd El-Al Tracking</t>
  </si>
  <si>
    <t>https://docs.google.com/spreadsheets/d/1rr2eLNk2a7zlUDLc3qbG0ClwVTI0_p2P6dUYuIrkUuI/edit?gid=463135065#gid=463135065</t>
  </si>
  <si>
    <t>Ahmed Abdelaziz Tracking</t>
  </si>
  <si>
    <t>Mohamed Ibrahim</t>
  </si>
  <si>
    <t>Alaa Ibrahim Ahmed Ibrahim</t>
  </si>
  <si>
    <t>Alaa Nasr</t>
  </si>
  <si>
    <t>Ashraf Adel Ahmed</t>
  </si>
  <si>
    <t>El Sayed Mohamed</t>
  </si>
  <si>
    <t>Hassan Hemaida</t>
  </si>
  <si>
    <t>Islam Reda</t>
  </si>
  <si>
    <t>Reda Mohamed Bayomy</t>
  </si>
  <si>
    <t>Tamer Khalil</t>
  </si>
  <si>
    <t>Khaled Adel</t>
  </si>
  <si>
    <t>Abdallah mohamed</t>
  </si>
  <si>
    <t>Alaa Mohamed Ibrahim</t>
  </si>
  <si>
    <t>Islam Eid</t>
  </si>
  <si>
    <t>Driver Name</t>
  </si>
  <si>
    <t>https://docs.google.com/spreadsheets/d/1-nTDvCd2AjQDrp7EUFLmEyHQSHe_wMYDXmeAFihfcY0/edit?gid=1150286976#gid=1150286976</t>
  </si>
  <si>
    <t>Mahmoud Waheed Abd El-Razek</t>
  </si>
  <si>
    <t>Mena Najeh</t>
  </si>
  <si>
    <t>Magdy Ramadan Ebd El-Kerem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</si>
</sst>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EGP]\ 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1" fillId="2" borderId="1" xfId="0" applyFont="1" applyFill="1" applyBorder="1"/>
    <xf numFmtId="0" fontId="0" fillId="3" borderId="2" xfId="0" applyFill="1" applyBorder="1"/>
    <xf numFmtId="0" fontId="0" fillId="0" borderId="2" xfId="0" applyBorder="1"/>
    <xf numFmtId="0" fontId="0" fillId="3" borderId="3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[$EGP]\ #,##0"/>
      <alignment horizontal="left" vertical="bottom" textRotation="0" wrapText="0" indent="0" justifyLastLine="0" shrinkToFit="0" readingOrder="0"/>
    </dxf>
    <dxf>
      <numFmt numFmtId="164" formatCode="[$EGP]\ #,##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4DA97-EBC5-4BD2-B2DC-7C263647DF38}" name="Table3" displayName="Table3" ref="A1:D15" totalsRowShown="0">
  <autoFilter ref="A1:D15" xr:uid="{00000000-0009-0000-0100-000003000000}"/>
  <sortState xmlns:xlrd2="http://schemas.microsoft.com/office/spreadsheetml/2017/richdata2" ref="A2:D15">
    <sortCondition ref="A1:A15"/>
  </sortState>
  <tableColumns count="4">
    <tableColumn id="1" xr3:uid="{5C281241-C008-4D25-A002-12725B498A5D}" name="Name" dataDxfId="11"/>
    <tableColumn id="2" xr3:uid="{DCCEF508-DD76-4DD3-9377-B18D9EF15C1D}" name="Account Number" dataDxfId="10"/>
    <tableColumn id="3" xr3:uid="{ADDC6F5A-CEB2-46E1-9477-CD55E5CB2983}" name="Salary" dataDxfId="9"/>
    <tableColumn id="4" xr3:uid="{892E467E-0F8C-4F38-ACE1-EBC3D4D94CA9}" name="Salary/Day" dataDxfId="8">
      <calculatedColumnFormula>Table3[[#This Row],[Salary]]/26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6A88-4EAF-4D5F-8437-4CAD160F2250}">
  <sheetPr codeName="Sheet4">
    <tabColor rgb="FF7030A0"/>
  </sheetPr>
  <dimension ref="A1:G16"/>
  <sheetViews>
    <sheetView showGridLines="0" tabSelected="1" workbookViewId="0">
      <selection activeCell="G16" sqref="G16"/>
    </sheetView>
  </sheetViews>
  <sheetFormatPr defaultRowHeight="14.4" x14ac:dyDescent="0.3"/>
  <cols>
    <col min="1" max="1" width="40" style="1" bestFit="1" customWidth="1"/>
    <col min="2" max="2" width="17.6640625" bestFit="1" customWidth="1"/>
    <col min="3" max="3" width="11.5546875" style="1" customWidth="1"/>
    <col min="4" max="4" width="12.44140625" style="1" bestFit="1" customWidth="1"/>
    <col min="5" max="5" width="17.5546875" bestFit="1" customWidth="1"/>
    <col min="7" max="7" width="24.33203125" bestFit="1" customWidth="1"/>
  </cols>
  <sheetData>
    <row r="1" spans="1:7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G1" s="5" t="s">
        <v>46</v>
      </c>
    </row>
    <row r="2" spans="1:7" x14ac:dyDescent="0.3">
      <c r="A2" s="1" t="s">
        <v>4</v>
      </c>
      <c r="B2" s="4">
        <v>5022342727419</v>
      </c>
      <c r="C2" s="3">
        <v>8000</v>
      </c>
      <c r="D2" s="3">
        <f>Table3[[#This Row],[Salary]]/26</f>
        <v>307.69230769230768</v>
      </c>
      <c r="G2" s="6" t="s">
        <v>43</v>
      </c>
    </row>
    <row r="3" spans="1:7" x14ac:dyDescent="0.3">
      <c r="A3" s="1" t="s">
        <v>5</v>
      </c>
      <c r="B3" s="4">
        <v>5004589111419</v>
      </c>
      <c r="C3" s="3">
        <v>8500</v>
      </c>
      <c r="D3" s="3">
        <f>Table3[[#This Row],[Salary]]/26</f>
        <v>326.92307692307691</v>
      </c>
      <c r="G3" s="7" t="s">
        <v>34</v>
      </c>
    </row>
    <row r="4" spans="1:7" x14ac:dyDescent="0.3">
      <c r="A4" s="1" t="s">
        <v>16</v>
      </c>
      <c r="B4" s="4">
        <v>5022146847419</v>
      </c>
      <c r="C4" s="3">
        <v>9800</v>
      </c>
      <c r="D4" s="3">
        <f>Table3[[#This Row],[Salary]]/26</f>
        <v>376.92307692307691</v>
      </c>
      <c r="G4" s="7" t="s">
        <v>44</v>
      </c>
    </row>
    <row r="5" spans="1:7" x14ac:dyDescent="0.3">
      <c r="A5" s="1" t="s">
        <v>6</v>
      </c>
      <c r="B5" s="4">
        <v>5004447589419</v>
      </c>
      <c r="C5" s="3">
        <v>10500</v>
      </c>
      <c r="D5" s="3">
        <f>Table3[[#This Row],[Salary]]/26</f>
        <v>403.84615384615387</v>
      </c>
      <c r="G5" s="6" t="s">
        <v>35</v>
      </c>
    </row>
    <row r="6" spans="1:7" x14ac:dyDescent="0.3">
      <c r="A6" s="1" t="s">
        <v>7</v>
      </c>
      <c r="B6" s="4">
        <v>5022701624419</v>
      </c>
      <c r="C6" s="3">
        <v>12000</v>
      </c>
      <c r="D6" s="3">
        <f>Table3[[#This Row],[Salary]]/26</f>
        <v>461.53846153846155</v>
      </c>
      <c r="G6" s="7" t="s">
        <v>36</v>
      </c>
    </row>
    <row r="7" spans="1:7" x14ac:dyDescent="0.3">
      <c r="A7" s="1" t="s">
        <v>8</v>
      </c>
      <c r="B7" s="4">
        <v>5022188204419</v>
      </c>
      <c r="C7" s="3">
        <v>9500</v>
      </c>
      <c r="D7" s="3">
        <f>Table3[[#This Row],[Salary]]/26</f>
        <v>365.38461538461536</v>
      </c>
      <c r="G7" s="6" t="s">
        <v>37</v>
      </c>
    </row>
    <row r="8" spans="1:7" x14ac:dyDescent="0.3">
      <c r="A8" s="1" t="s">
        <v>9</v>
      </c>
      <c r="B8" s="4">
        <v>5022383642419</v>
      </c>
      <c r="C8" s="3">
        <v>10200</v>
      </c>
      <c r="D8" s="3">
        <f>Table3[[#This Row],[Salary]]/26</f>
        <v>392.30769230769232</v>
      </c>
      <c r="G8" s="7" t="s">
        <v>38</v>
      </c>
    </row>
    <row r="9" spans="1:7" x14ac:dyDescent="0.3">
      <c r="A9" s="1" t="s">
        <v>10</v>
      </c>
      <c r="B9" s="4">
        <v>5004738816419</v>
      </c>
      <c r="C9" s="3">
        <v>11000</v>
      </c>
      <c r="D9" s="3">
        <f>Table3[[#This Row],[Salary]]/26</f>
        <v>423.07692307692309</v>
      </c>
      <c r="G9" s="6" t="s">
        <v>45</v>
      </c>
    </row>
    <row r="10" spans="1:7" x14ac:dyDescent="0.3">
      <c r="A10" s="1" t="s">
        <v>48</v>
      </c>
      <c r="B10" s="4"/>
      <c r="C10" s="3">
        <v>12000</v>
      </c>
      <c r="D10" s="3">
        <f>Table3[[#This Row],[Salary]]/26</f>
        <v>461.53846153846155</v>
      </c>
      <c r="G10" s="6" t="s">
        <v>39</v>
      </c>
    </row>
    <row r="11" spans="1:7" x14ac:dyDescent="0.3">
      <c r="A11" s="1" t="s">
        <v>17</v>
      </c>
      <c r="B11" s="4">
        <v>5022195252419</v>
      </c>
      <c r="C11" s="3">
        <v>7000</v>
      </c>
      <c r="D11" s="3">
        <f>Table3[[#This Row],[Salary]]/26</f>
        <v>269.23076923076923</v>
      </c>
      <c r="G11" s="7" t="s">
        <v>42</v>
      </c>
    </row>
    <row r="12" spans="1:7" x14ac:dyDescent="0.3">
      <c r="A12" s="1" t="s">
        <v>11</v>
      </c>
      <c r="B12" s="4">
        <v>5022225671419</v>
      </c>
      <c r="C12" s="3">
        <v>9500</v>
      </c>
      <c r="D12" s="3">
        <f>Table3[[#This Row],[Salary]]/26</f>
        <v>365.38461538461536</v>
      </c>
      <c r="G12" s="6" t="s">
        <v>33</v>
      </c>
    </row>
    <row r="13" spans="1:7" x14ac:dyDescent="0.3">
      <c r="A13" s="1" t="s">
        <v>12</v>
      </c>
      <c r="B13" s="4">
        <v>5004890383419</v>
      </c>
      <c r="C13" s="3">
        <v>15000</v>
      </c>
      <c r="D13" s="3">
        <f>Table3[[#This Row],[Salary]]/26</f>
        <v>576.92307692307691</v>
      </c>
      <c r="G13" s="7" t="s">
        <v>40</v>
      </c>
    </row>
    <row r="14" spans="1:7" ht="15" thickBot="1" x14ac:dyDescent="0.35">
      <c r="A14" s="1" t="s">
        <v>13</v>
      </c>
      <c r="B14" s="4">
        <v>5004446575419</v>
      </c>
      <c r="C14" s="3">
        <v>11500</v>
      </c>
      <c r="D14" s="3">
        <f>Table3[[#This Row],[Salary]]/26</f>
        <v>442.30769230769232</v>
      </c>
      <c r="G14" s="8" t="s">
        <v>41</v>
      </c>
    </row>
    <row r="15" spans="1:7" x14ac:dyDescent="0.3">
      <c r="A15" s="1" t="s">
        <v>14</v>
      </c>
      <c r="B15" s="4" t="s">
        <v>15</v>
      </c>
      <c r="C15" s="3">
        <v>12000</v>
      </c>
      <c r="D15" s="3">
        <f>Table3[[#This Row],[Salary]]/26</f>
        <v>461.53846153846155</v>
      </c>
      <c r="G15" t="s">
        <v>49</v>
      </c>
    </row>
    <row r="16" spans="1:7" x14ac:dyDescent="0.3">
      <c r="G16" t="s">
        <v>50</v>
      </c>
    </row>
  </sheetData>
  <sortState xmlns:xlrd2="http://schemas.microsoft.com/office/spreadsheetml/2017/richdata2" ref="G2:G14">
    <sortCondition ref="G1:G14"/>
  </sortState>
  <conditionalFormatting sqref="A2:A3">
    <cfRule type="duplicateValues" dxfId="7" priority="7"/>
  </conditionalFormatting>
  <conditionalFormatting sqref="A2:A15">
    <cfRule type="duplicateValues" dxfId="6" priority="8"/>
    <cfRule type="duplicateValues" dxfId="5" priority="9"/>
    <cfRule type="duplicateValues" dxfId="4" priority="10"/>
    <cfRule type="duplicateValues" dxfId="3" priority="11"/>
  </conditionalFormatting>
  <conditionalFormatting sqref="B1:B1048576">
    <cfRule type="duplicateValues" dxfId="2" priority="12"/>
  </conditionalFormatting>
  <conditionalFormatting sqref="B2:B3">
    <cfRule type="duplicateValues" dxfId="1" priority="6"/>
  </conditionalFormatting>
  <conditionalFormatting sqref="G2:G14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CB6B-4958-4ABD-B0D0-4E7804B0F405}">
  <dimension ref="A1:B8"/>
  <sheetViews>
    <sheetView workbookViewId="0">
      <selection activeCell="B3" sqref="B3"/>
    </sheetView>
  </sheetViews>
  <sheetFormatPr defaultRowHeight="14.4" x14ac:dyDescent="0.3"/>
  <cols>
    <col min="1" max="1" width="24.5546875" bestFit="1" customWidth="1"/>
    <col min="2" max="2" width="114.21875" bestFit="1" customWidth="1"/>
  </cols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 t="s">
        <v>21</v>
      </c>
    </row>
    <row r="3" spans="1:2" x14ac:dyDescent="0.3">
      <c r="A3" t="s">
        <v>22</v>
      </c>
      <c r="B3" t="s">
        <v>47</v>
      </c>
    </row>
    <row r="4" spans="1:2" x14ac:dyDescent="0.3">
      <c r="A4" t="s">
        <v>23</v>
      </c>
      <c r="B4" t="s">
        <v>24</v>
      </c>
    </row>
    <row r="5" spans="1:2" x14ac:dyDescent="0.3">
      <c r="A5" t="s">
        <v>26</v>
      </c>
      <c r="B5" t="s">
        <v>25</v>
      </c>
    </row>
    <row r="6" spans="1:2" x14ac:dyDescent="0.3">
      <c r="A6" t="s">
        <v>28</v>
      </c>
      <c r="B6" t="s">
        <v>27</v>
      </c>
    </row>
    <row r="7" spans="1:2" x14ac:dyDescent="0.3">
      <c r="A7" t="s">
        <v>30</v>
      </c>
      <c r="B7" t="s">
        <v>29</v>
      </c>
    </row>
    <row r="8" spans="1:2" x14ac:dyDescent="0.3">
      <c r="A8" t="s">
        <v>32</v>
      </c>
      <c r="B8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Salaries</vt:lpstr>
      <vt:lpstr>Google Sheets URLs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El-Sherbiny</dc:creator>
  <cp:lastModifiedBy>Khaled El-Sherbiny</cp:lastModifiedBy>
  <dcterms:created xsi:type="dcterms:W3CDTF">2026-03-19T11:38:02Z</dcterms:created>
  <dcterms:modified xsi:type="dcterms:W3CDTF">2026-06-21T08:25:10Z</dcterms:modified>
</cp:coreProperties>
</file>